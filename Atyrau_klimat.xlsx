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лимат Атырау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<sst xmlns="http://schemas.openxmlformats.org/spreadsheetml/2006/main" count="27" uniqueCount="25">
  <si>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 xml:space="preserve">Климат города Атырау по месяцам</t>
  </si>
  <si>
    <t xml:space="preserve">Месяц</t>
  </si>
  <si>
    <t xml:space="preserve">Средний максимум, °C</t>
  </si>
  <si>
    <t xml:space="preserve">Средний минимум, °C</t>
  </si>
  <si>
    <t xml:space="preserve">Средняя температура, °C</t>
  </si>
  <si>
    <t xml:space="preserve">Солнечные часы, ч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</si>
  <si>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</si>
  <si>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</si>
  <si>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</si>
  <si>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</si>
  <si>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</si>
  <si>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</si>
  <si>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</si>
  <si>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</si>
  <si>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</si>
  <si>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</si>
  <si>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</si>
  <si>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</si>
  <si>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Сумма (за год)</t>
  </si>
  <si>
    <t xml:space="preserve">—</t>
  </si>
  <si>
    <t xml:space="preserve">Среднее</t>
  </si>
  <si>
    <t xml:space="preserve">Максимум</t>
  </si>
  <si>
    <t xml:space="preserve">Минимум</t>
  </si>
  <si>
    <t xml:space="preserve">Источники: многолетние климатические нормы (Wikipedia/NOAA, 1991–2020) и открытые погодные справочники; температуры округлены, поэтому значения приблизительные.</t>
  </si>
  <si>
    <t xml:space="preserve">Синий цвет — исходные данные, чёрный — формулы.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</si>
</sst>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46E7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5C8B"/>
        <bgColor rgb="FF008080"/>
      </patternFill>
    </fill>
    <fill>
      <patternFill patternType="solid">
        <fgColor rgb="FFE3F2F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78787"/>
      <rgbColor rgb="FF9999FF"/>
      <rgbColor rgb="FFBE4B48"/>
      <rgbColor rgb="FFFFFFCC"/>
      <rgbColor rgb="FFE3F2FD"/>
      <rgbColor rgb="FF660066"/>
      <rgbColor rgb="FFFF8080"/>
      <rgbColor rgb="FF1F5C8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46E7A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Температура воздуха в Атырау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'Климат Атырау'!B3</c:f>
              <c:strCache>
                <c:ptCount val="1"/>
                <c:pt idx="0">
                  <c:v>Средний максимум, °C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'Климат Атырау'!$A$4:$A$15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'Климат Атырау'!$B$4:$B$15</c:f>
              <c:numCache>
                <c:formatCode>General</c:formatCode>
                <c:ptCount val="12"/>
                <c:pt idx="0">
                  <c:v>-3</c:v>
                </c:pt>
                <c:pt idx="1">
                  <c:v>-2</c:v>
                </c:pt>
                <c:pt idx="2">
                  <c:v>7</c:v>
                </c:pt>
                <c:pt idx="3">
                  <c:v>17</c:v>
                </c:pt>
                <c:pt idx="4">
                  <c:v>26</c:v>
                </c:pt>
                <c:pt idx="5">
                  <c:v>31</c:v>
                </c:pt>
                <c:pt idx="6">
                  <c:v>34</c:v>
                </c:pt>
                <c:pt idx="7">
                  <c:v>32</c:v>
                </c:pt>
                <c:pt idx="8">
                  <c:v>24</c:v>
                </c:pt>
                <c:pt idx="9">
                  <c:v>15</c:v>
                </c:pt>
                <c:pt idx="10">
                  <c:v>5</c:v>
                </c:pt>
                <c:pt idx="11">
                  <c:v>-1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'Климат Атырау'!C3</c:f>
              <c:strCache>
                <c:ptCount val="1"/>
                <c:pt idx="0">
                  <c:v>Средний минимум, °C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'Климат Атырау'!$A$4:$A$15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'Климат Атырау'!$C$4:$C$15</c:f>
              <c:numCache>
                <c:formatCode>General</c:formatCode>
                <c:ptCount val="12"/>
                <c:pt idx="0">
                  <c:v>-9</c:v>
                </c:pt>
                <c:pt idx="1">
                  <c:v>-8</c:v>
                </c:pt>
                <c:pt idx="2">
                  <c:v>-1</c:v>
                </c:pt>
                <c:pt idx="3">
                  <c:v>8</c:v>
                </c:pt>
                <c:pt idx="4">
                  <c:v>16</c:v>
                </c:pt>
                <c:pt idx="5">
                  <c:v>21</c:v>
                </c:pt>
                <c:pt idx="6">
                  <c:v>24</c:v>
                </c:pt>
                <c:pt idx="7">
                  <c:v>23</c:v>
                </c:pt>
                <c:pt idx="8">
                  <c:v>15</c:v>
                </c:pt>
                <c:pt idx="9">
                  <c:v>7</c:v>
                </c:pt>
                <c:pt idx="10">
                  <c:v>0</c:v>
                </c:pt>
                <c:pt idx="11">
                  <c:v>-5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'Климат Атырау'!D3</c:f>
              <c:strCache>
                <c:ptCount val="1"/>
                <c:pt idx="0">
                  <c:v>Средняя температура, °C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'Климат Атырау'!$A$4:$A$15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'Климат Атырау'!$D$4:$D$15</c:f>
              <c:numCache>
                <c:formatCode>0.0</c:formatCode>
                <c:ptCount val="12"/>
                <c:pt idx="0">
                  <c:v>-6</c:v>
                </c:pt>
                <c:pt idx="1">
                  <c:v>-5</c:v>
                </c:pt>
                <c:pt idx="2">
                  <c:v>3</c:v>
                </c:pt>
                <c:pt idx="3">
                  <c:v>12.5</c:v>
                </c:pt>
                <c:pt idx="4">
                  <c:v>21</c:v>
                </c:pt>
                <c:pt idx="5">
                  <c:v>26</c:v>
                </c:pt>
                <c:pt idx="6">
                  <c:v>29</c:v>
                </c:pt>
                <c:pt idx="7">
                  <c:v>27.5</c:v>
                </c:pt>
                <c:pt idx="8">
                  <c:v>19.5</c:v>
                </c:pt>
                <c:pt idx="9">
                  <c:v>11</c:v>
                </c:pt>
                <c:pt idx="10">
                  <c:v>2.5</c:v>
                </c:pt>
                <c:pt idx="11">
                  <c:v>-3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547538"/>
        <c:axId val="44810532"/>
      </c:lineChart>
      <c:catAx>
        <c:axId val="98547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10532"/>
        <c:crosses val="autoZero"/>
        <c:auto val="1"/>
        <c:lblAlgn val="ctr"/>
        <c:lblOffset val="100"/>
        <c:noMultiLvlLbl val="0"/>
      </c:catAx>
      <c:valAx>
        <c:axId val="44810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Температура, 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47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Солнечные часы в Атырау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'Климат Атырау'!E3</c:f>
              <c:strCache>
                <c:ptCount val="1"/>
                <c:pt idx="0">
                  <c:v>Солнечные часы, ч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'Климат Атырау'!$A$4:$A$15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'Климат Атырау'!$E$4:$E$15</c:f>
              <c:numCache>
                <c:formatCode>General</c:formatCode>
                <c:ptCount val="12"/>
                <c:pt idx="0">
                  <c:v>98</c:v>
                </c:pt>
                <c:pt idx="1">
                  <c:v>138</c:v>
                </c:pt>
                <c:pt idx="2">
                  <c:v>167</c:v>
                </c:pt>
                <c:pt idx="3">
                  <c:v>245</c:v>
                </c:pt>
                <c:pt idx="4">
                  <c:v>311</c:v>
                </c:pt>
                <c:pt idx="5">
                  <c:v>330</c:v>
                </c:pt>
                <c:pt idx="6">
                  <c:v>343</c:v>
                </c:pt>
                <c:pt idx="7">
                  <c:v>323</c:v>
                </c:pt>
                <c:pt idx="8">
                  <c:v>267</c:v>
                </c:pt>
                <c:pt idx="9">
                  <c:v>196</c:v>
                </c:pt>
                <c:pt idx="10">
                  <c:v>105</c:v>
                </c:pt>
                <c:pt idx="11">
                  <c:v>75</c:v>
                </c:pt>
              </c:numCache>
            </c:numRef>
          </c:val>
        </c:ser>
        <c:gapWidth val="150"/>
        <c:overlap val="0"/>
        <c:axId val="68033550"/>
        <c:axId val="49074153"/>
      </c:barChart>
      <c:catAx>
        <c:axId val="680335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74153"/>
        <c:crosses val="autoZero"/>
        <c:auto val="1"/>
        <c:lblAlgn val="ctr"/>
        <c:lblOffset val="100"/>
        <c:noMultiLvlLbl val="0"/>
      </c:catAx>
      <c:valAx>
        <c:axId val="49074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335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16</xdr:col>
      <xdr:colOff>364320</xdr:colOff>
      <xdr:row>17</xdr:row>
      <xdr:rowOff>142560</xdr:rowOff>
    </xdr:to>
    <xdr:graphicFrame>
      <xdr:nvGraphicFramePr>
        <xdr:cNvPr id="0" name="Chart 1"/>
        <xdr:cNvGraphicFramePr/>
      </xdr:nvGraphicFramePr>
      <xdr:xfrm>
        <a:off x="709596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160920</xdr:rowOff>
    </xdr:from>
    <xdr:to>
      <xdr:col>16</xdr:col>
      <xdr:colOff>364320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7095960" y="42102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-3</v>
      </c>
      <c r="C4" s="4" t="n">
        <v>-9</v>
      </c>
      <c r="D4" s="5" t="n">
        <f aca="false">AVERAGE(B4:C4)</f>
        <v>-6</v>
      </c>
      <c r="E4" s="4" t="n">
        <v>98</v>
      </c>
    </row>
    <row r="5" customFormat="false" ht="15" hidden="false" customHeight="false" outlineLevel="0" collapsed="false">
      <c r="A5" s="3" t="s">
        <v>7</v>
      </c>
      <c r="B5" s="4" t="n">
        <v>-2</v>
      </c>
      <c r="C5" s="4" t="n">
        <v>-8</v>
      </c>
      <c r="D5" s="5" t="n">
        <f aca="false">AVERAGE(B5:C5)</f>
        <v>-5</v>
      </c>
      <c r="E5" s="4" t="n">
        <v>138</v>
      </c>
    </row>
    <row r="6" customFormat="false" ht="15" hidden="false" customHeight="false" outlineLevel="0" collapsed="false">
      <c r="A6" s="3" t="s">
        <v>8</v>
      </c>
      <c r="B6" s="4" t="n">
        <v>7</v>
      </c>
      <c r="C6" s="4" t="n">
        <v>-1</v>
      </c>
      <c r="D6" s="5" t="n">
        <f aca="false">AVERAGE(B6:C6)</f>
        <v>3</v>
      </c>
      <c r="E6" s="4" t="n">
        <v>167</v>
      </c>
    </row>
    <row r="7" customFormat="false" ht="15" hidden="false" customHeight="false" outlineLevel="0" collapsed="false">
      <c r="A7" s="3" t="s">
        <v>9</v>
      </c>
      <c r="B7" s="4" t="n">
        <v>17</v>
      </c>
      <c r="C7" s="4" t="n">
        <v>8</v>
      </c>
      <c r="D7" s="5" t="n">
        <f aca="false">AVERAGE(B7:C7)</f>
        <v>12.5</v>
      </c>
      <c r="E7" s="4" t="n">
        <v>245</v>
      </c>
    </row>
    <row r="8" customFormat="false" ht="15" hidden="false" customHeight="false" outlineLevel="0" collapsed="false">
      <c r="A8" s="3" t="s">
        <v>10</v>
      </c>
      <c r="B8" s="4" t="n">
        <v>26</v>
      </c>
      <c r="C8" s="4" t="n">
        <v>16</v>
      </c>
      <c r="D8" s="5" t="n">
        <f aca="false">AVERAGE(B8:C8)</f>
        <v>21</v>
      </c>
      <c r="E8" s="4" t="n">
        <v>311</v>
      </c>
    </row>
    <row r="9" customFormat="false" ht="15" hidden="false" customHeight="false" outlineLevel="0" collapsed="false">
      <c r="A9" s="3" t="s">
        <v>11</v>
      </c>
      <c r="B9" s="4" t="n">
        <v>31</v>
      </c>
      <c r="C9" s="4" t="n">
        <v>21</v>
      </c>
      <c r="D9" s="5" t="n">
        <f aca="false">AVERAGE(B9:C9)</f>
        <v>26</v>
      </c>
      <c r="E9" s="4" t="n">
        <v>330</v>
      </c>
    </row>
    <row r="10" customFormat="false" ht="15" hidden="false" customHeight="false" outlineLevel="0" collapsed="false">
      <c r="A10" s="3" t="s">
        <v>12</v>
      </c>
      <c r="B10" s="4" t="n">
        <v>34</v>
      </c>
      <c r="C10" s="4" t="n">
        <v>24</v>
      </c>
      <c r="D10" s="5" t="n">
        <f aca="false">AVERAGE(B10:C10)</f>
        <v>29</v>
      </c>
      <c r="E10" s="4" t="n">
        <v>343</v>
      </c>
    </row>
    <row r="11" customFormat="false" ht="15" hidden="false" customHeight="false" outlineLevel="0" collapsed="false">
      <c r="A11" s="3" t="s">
        <v>13</v>
      </c>
      <c r="B11" s="4" t="n">
        <v>32</v>
      </c>
      <c r="C11" s="4" t="n">
        <v>23</v>
      </c>
      <c r="D11" s="5" t="n">
        <f aca="false">AVERAGE(B11:C11)</f>
        <v>27.5</v>
      </c>
      <c r="E11" s="4" t="n">
        <v>323</v>
      </c>
    </row>
    <row r="12" customFormat="false" ht="15" hidden="false" customHeight="false" outlineLevel="0" collapsed="false">
      <c r="A12" s="3" t="s">
        <v>14</v>
      </c>
      <c r="B12" s="4" t="n">
        <v>24</v>
      </c>
      <c r="C12" s="4" t="n">
        <v>15</v>
      </c>
      <c r="D12" s="5" t="n">
        <f aca="false">AVERAGE(B12:C12)</f>
        <v>19.5</v>
      </c>
      <c r="E12" s="4" t="n">
        <v>267</v>
      </c>
    </row>
    <row r="13" customFormat="false" ht="15" hidden="false" customHeight="false" outlineLevel="0" collapsed="false">
      <c r="A13" s="3" t="s">
        <v>15</v>
      </c>
      <c r="B13" s="4" t="n">
        <v>15</v>
      </c>
      <c r="C13" s="4" t="n">
        <v>7</v>
      </c>
      <c r="D13" s="5" t="n">
        <f aca="false">AVERAGE(B13:C13)</f>
        <v>11</v>
      </c>
      <c r="E13" s="4" t="n">
        <v>196</v>
      </c>
    </row>
    <row r="14" customFormat="false" ht="15" hidden="false" customHeight="false" outlineLevel="0" collapsed="false">
      <c r="A14" s="3" t="s">
        <v>16</v>
      </c>
      <c r="B14" s="4" t="n">
        <v>5</v>
      </c>
      <c r="C14" s="4" t="n">
        <v>0</v>
      </c>
      <c r="D14" s="5" t="n">
        <f aca="false">AVERAGE(B14:C14)</f>
        <v>2.5</v>
      </c>
      <c r="E14" s="4" t="n">
        <v>105</v>
      </c>
    </row>
    <row r="15" customFormat="false" ht="15" hidden="false" customHeight="false" outlineLevel="0" collapsed="false">
      <c r="A15" s="3" t="s">
        <v>17</v>
      </c>
      <c r="B15" s="4" t="n">
        <v>-1</v>
      </c>
      <c r="C15" s="4" t="n">
        <v>-5</v>
      </c>
      <c r="D15" s="5" t="n">
        <f aca="false">AVERAGE(B15:C15)</f>
        <v>-3</v>
      </c>
      <c r="E15" s="4" t="n">
        <v>75</v>
      </c>
    </row>
    <row r="17" customFormat="false" ht="15" hidden="false" customHeight="false" outlineLevel="0" collapsed="false">
      <c r="A17" s="6" t="s">
        <v>18</v>
      </c>
      <c r="B17" s="7" t="s">
        <v>19</v>
      </c>
      <c r="C17" s="7" t="s">
        <v>19</v>
      </c>
      <c r="D17" s="7" t="s">
        <v>19</v>
      </c>
      <c r="E17" s="8" t="n">
        <f aca="false">SUM(E4:E15)</f>
        <v>2598</v>
      </c>
    </row>
    <row r="18" customFormat="false" ht="15" hidden="false" customHeight="false" outlineLevel="0" collapsed="false">
      <c r="A18" s="6" t="s">
        <v>20</v>
      </c>
      <c r="B18" s="7" t="n">
        <f aca="false">AVERAGE(B4:B15)</f>
        <v>15.4166666666667</v>
      </c>
      <c r="C18" s="7" t="n">
        <f aca="false">AVERAGE(C4:C15)</f>
        <v>7.58333333333333</v>
      </c>
      <c r="D18" s="7" t="n">
        <f aca="false">AVERAGE(D4:D15)</f>
        <v>11.5</v>
      </c>
      <c r="E18" s="9" t="n">
        <f aca="false">AVERAGE(E4:E15)</f>
        <v>216.5</v>
      </c>
    </row>
    <row r="19" customFormat="false" ht="15" hidden="false" customHeight="false" outlineLevel="0" collapsed="false">
      <c r="A19" s="6" t="s">
        <v>21</v>
      </c>
      <c r="B19" s="7" t="n">
        <f aca="false">MAX(B4:B15)</f>
        <v>34</v>
      </c>
      <c r="C19" s="7" t="n">
        <f aca="false">MAX(C4:C15)</f>
        <v>24</v>
      </c>
      <c r="D19" s="7" t="n">
        <f aca="false">MAX(D4:D15)</f>
        <v>29</v>
      </c>
      <c r="E19" s="8" t="n">
        <f aca="false">MAX(E4:E15)</f>
        <v>343</v>
      </c>
    </row>
    <row r="20" customFormat="false" ht="15" hidden="false" customHeight="false" outlineLevel="0" collapsed="false">
      <c r="A20" s="6" t="s">
        <v>22</v>
      </c>
      <c r="B20" s="7" t="n">
        <f aca="false">MIN(B4:B15)</f>
        <v>-3</v>
      </c>
      <c r="C20" s="7" t="n">
        <f aca="false">MIN(C4:C15)</f>
        <v>-9</v>
      </c>
      <c r="D20" s="7" t="n">
        <f aca="false">MIN(D4:D15)</f>
        <v>-6</v>
      </c>
      <c r="E20" s="8" t="n">
        <f aca="false">MIN(E4:E15)</f>
        <v>75</v>
      </c>
    </row>
    <row r="22" customFormat="false" ht="15" hidden="false" customHeight="false" outlineLevel="0" collapsed="false">
      <c r="A22" s="10" t="s">
        <v>23</v>
      </c>
    </row>
    <row r="23" customFormat="false" ht="15" hidden="false" customHeight="false" outlineLevel="0" collapsed="false">
      <c r="A23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2026-10-22T16:16:57Z</dcterms:created>
  <dc:creator>openpyxl</dc:creator>
  <dc:description/>
  <dc:language>en-US</dc:language>
  <cp:lastModifiedBy/>
  <dcterms:modified xsi:type="dcterms:W3CDTF">2026-10-22T16:17:01Z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